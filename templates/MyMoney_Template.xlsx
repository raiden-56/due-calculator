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Dashboard" sheetId="2" r:id="rId2"/>
    <sheet name="People" sheetId="3" r:id="rId3"/>
    <sheet name="Money Records" sheetId="4" r:id="rId4"/>
    <sheet name="Payments" sheetId="5" r:id="rId5"/>
    <sheet name="Cashback" sheetId="6" r:id="rId6"/>
    <sheet name="January" sheetId="7" r:id="rId7"/>
    <sheet name="February" sheetId="8" r:id="rId8"/>
    <sheet name="March" sheetId="9" r:id="rId9"/>
    <sheet name="April" sheetId="10" r:id="rId10"/>
    <sheet name="May" sheetId="11" r:id="rId11"/>
    <sheet name="June" sheetId="12" r:id="rId12"/>
    <sheet name="July" sheetId="13" r:id="rId13"/>
    <sheet name="August" sheetId="14" r:id="rId14"/>
    <sheet name="September" sheetId="15" r:id="rId15"/>
    <sheet name="October" sheetId="16" r:id="rId16"/>
    <sheet name="November" sheetId="17" r:id="rId17"/>
    <sheet name="December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m-yyyy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120.83203125" customWidth="1"/>
  </cols>
  <sheetData>
    <row r="1">
      <c r="A1" t="str">
        <v>MyMoney Excel template — how to fill it</v>
      </c>
    </row>
    <row r="3">
      <c r="A3" t="str">
        <v>1. People sheet: one row per person. Person ID is optional; leave it blank and the app assigns PER-0001, PER-0002…</v>
      </c>
    </row>
    <row r="4">
      <c r="A4" t="str">
        <v>2. Money Records sheet: one row per amount you gave. Link to a person by Person ID or (if blank) by Person Name.</v>
      </c>
    </row>
    <row r="5">
      <c r="A5" t="str">
        <v xml:space="preserve">   Category must be one of: Credit Card, Cash, Bank Transfer, Personal Loan, Shopping, Travel, Other.</v>
      </c>
    </row>
    <row r="6">
      <c r="A6" t="str">
        <v xml:space="preserve">   Date Given and Due Date accept Excel dates or text like 21-01-2026 / 2026-01-21.</v>
      </c>
    </row>
    <row r="7">
      <c r="A7" t="str">
        <v xml:space="preserve">   Amount Received, Cashback Applied, Outstanding, Total Cashback and Status are calculated — leave them empty.</v>
      </c>
    </row>
    <row r="8">
      <c r="A8" t="str">
        <v>3. Payments sheet: one row per payment received. Record ID is required. Method: UPI, Cash, Bank Transfer, Cheque, Other.</v>
      </c>
    </row>
    <row r="9">
      <c r="A9" t="str">
        <v>4. Cashback sheet: one row per cashback. Set "Applied To Debt" to Yes only if the cashback should reduce what the person owes.</v>
      </c>
    </row>
    <row r="10">
      <c r="A10" t="str">
        <v>5. Dashboard and the monthly sheets are regenerated by the app on export — do not type into them.</v>
      </c>
    </row>
    <row r="11">
      <c r="A11" t="str">
        <v>6. Import this workbook from "Excel Import / Export" in the app. The app recalculates every total in TypeScript.</v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34.83203125" customWidth="1"/>
    <col min="2" max="2" width="18.83203125" customWidth="1"/>
    <col min="3" max="3" width="16.83203125" customWidth="1"/>
    <col min="4" max="4" width="16.83203125" customWidth="1"/>
    <col min="5" max="5" width="14.83203125" customWidth="1"/>
  </cols>
  <sheetData>
    <row r="1">
      <c r="A1" t="str">
        <v>MyMoney — Personal Money Tracker</v>
      </c>
      <c r="B1" t="str">
        <v/>
      </c>
    </row>
    <row r="2">
      <c r="A2" t="str">
        <v>Exported on</v>
      </c>
      <c r="B2" s="1" t="d">
        <v>2026-10-22T10:19:19.952Z</v>
      </c>
    </row>
    <row r="3">
      <c r="A3" t="str">
        <v>Values are computed by the app; formulas recalculate in Excel.</v>
      </c>
      <c r="B3" t="str">
        <v/>
      </c>
    </row>
    <row r="5">
      <c r="A5" t="str">
        <v>Metric</v>
      </c>
      <c r="B5" t="str">
        <v>Value</v>
      </c>
    </row>
    <row r="6">
      <c r="A6" t="str">
        <v>Total Amount Given</v>
      </c>
      <c r="B6" s="2">
        <f>SUM('Money Records'!G:G)</f>
        <v>0</v>
      </c>
    </row>
    <row r="7">
      <c r="A7" t="str">
        <v>Total Received</v>
      </c>
      <c r="B7" s="2">
        <f>SUM('Payments'!F:F)</f>
        <v>0</v>
      </c>
    </row>
    <row r="8">
      <c r="A8" t="str">
        <v>Total Outstanding</v>
      </c>
      <c r="B8" s="2">
        <f>SUMIF('Money Records'!J:J,"&gt;0")</f>
        <v>0</v>
      </c>
    </row>
    <row r="9">
      <c r="A9" t="str">
        <v>Total Overpaid (credit)</v>
      </c>
      <c r="B9" s="2">
        <f>-SUMIF('Money Records'!J:J,"&lt;0")</f>
        <v>0</v>
      </c>
    </row>
    <row r="10">
      <c r="A10" t="str">
        <v>Total Cashback</v>
      </c>
      <c r="B10" s="2">
        <f>SUM('Cashback'!F:F)</f>
        <v>0</v>
      </c>
    </row>
    <row r="11">
      <c r="A11" t="str">
        <v>Cashback Applied To Debt</v>
      </c>
      <c r="B11" s="2">
        <f>SUMIF('Cashback'!H:H,"Yes",'Cashback'!F:F)</f>
        <v>0</v>
      </c>
    </row>
    <row r="12">
      <c r="A12" t="str">
        <v>People With Pending Balances</v>
      </c>
      <c r="B12" s="3">
        <f>COUNTIF('People'!I:I,"&gt;0")</f>
        <v>0</v>
      </c>
    </row>
    <row r="13">
      <c r="A13" t="str">
        <v>Fully Settled Records</v>
      </c>
      <c r="B13" s="3">
        <f>COUNTIF('Money Records'!M:M,"Settled")</f>
        <v>0</v>
      </c>
    </row>
    <row r="14">
      <c r="A14" t="str">
        <v>Overdue Records</v>
      </c>
      <c r="B14" s="3">
        <f>COUNTIF('Money Records'!M:M,"Overdue")</f>
        <v>0</v>
      </c>
    </row>
    <row r="15">
      <c r="A15" t="str">
        <v>Total Records</v>
      </c>
      <c r="B15" s="3">
        <f>COUNTA('Money Records'!A:A)-1</f>
        <v>0</v>
      </c>
    </row>
    <row r="16">
      <c r="A16" t="str">
        <v>Total Payments</v>
      </c>
      <c r="B16" s="3">
        <f>COUNTA('Payments'!A:A)-1</f>
        <v>0</v>
      </c>
    </row>
    <row r="18">
      <c r="A18" t="str">
        <v>People Who Owe Me</v>
      </c>
      <c r="B18" t="str">
        <v>Outstanding</v>
      </c>
      <c r="C18" t="str">
        <v>Total Given</v>
      </c>
      <c r="D18" t="str">
        <v>Total Paid</v>
      </c>
      <c r="E18" t="str">
        <v>Status</v>
      </c>
    </row>
    <row r="20">
      <c r="A20" t="str">
        <v>Monthly summary 2026</v>
      </c>
      <c r="B20" t="str">
        <v>Money Given</v>
      </c>
      <c r="C20" t="str">
        <v>Money Received</v>
      </c>
      <c r="D20" t="str">
        <v>Cashback</v>
      </c>
      <c r="E20" t="str">
        <v>Payments</v>
      </c>
    </row>
    <row r="21">
      <c r="A21" t="str">
        <v>Jan 2026</v>
      </c>
      <c r="B21" s="2">
        <f>SUMIFS('Money Records'!$G:$G,'Money Records'!$F:$F,"&gt;="&amp;DATE(2026,1,1),'Money Records'!$F:$F,"&lt;"&amp;DATE(2026,2,1))</f>
        <v>0</v>
      </c>
      <c r="C21" s="2">
        <f>SUMIFS('Payments'!$F:$F,'Payments'!$E:$E,"&gt;="&amp;DATE(2026,1,1),'Payments'!$E:$E,"&lt;"&amp;DATE(2026,2,1))</f>
        <v>0</v>
      </c>
      <c r="D21" s="2">
        <f>SUMIFS('Cashback'!$F:$F,'Cashback'!$E:$E,"&gt;="&amp;DATE(2026,1,1),'Cashback'!$E:$E,"&lt;"&amp;DATE(2026,2,1))</f>
        <v>0</v>
      </c>
      <c r="E21" s="3">
        <f>COUNTIFS('Payments'!$E:$E,"&gt;="&amp;DATE(2026,1,1),'Payments'!$E:$E,"&lt;"&amp;DATE(2026,2,1))</f>
        <v>0</v>
      </c>
    </row>
    <row r="22">
      <c r="A22" t="str">
        <v>Feb 2026</v>
      </c>
      <c r="B22" s="2">
        <f>SUMIFS('Money Records'!$G:$G,'Money Records'!$F:$F,"&gt;="&amp;DATE(2026,2,1),'Money Records'!$F:$F,"&lt;"&amp;DATE(2026,3,1))</f>
        <v>0</v>
      </c>
      <c r="C22" s="2">
        <f>SUMIFS('Payments'!$F:$F,'Payments'!$E:$E,"&gt;="&amp;DATE(2026,2,1),'Payments'!$E:$E,"&lt;"&amp;DATE(2026,3,1))</f>
        <v>0</v>
      </c>
      <c r="D22" s="2">
        <f>SUMIFS('Cashback'!$F:$F,'Cashback'!$E:$E,"&gt;="&amp;DATE(2026,2,1),'Cashback'!$E:$E,"&lt;"&amp;DATE(2026,3,1))</f>
        <v>0</v>
      </c>
      <c r="E22" s="3">
        <f>COUNTIFS('Payments'!$E:$E,"&gt;="&amp;DATE(2026,2,1),'Payments'!$E:$E,"&lt;"&amp;DATE(2026,3,1))</f>
        <v>0</v>
      </c>
    </row>
    <row r="23">
      <c r="A23" t="str">
        <v>Mar 2026</v>
      </c>
      <c r="B23" s="2">
        <f>SUMIFS('Money Records'!$G:$G,'Money Records'!$F:$F,"&gt;="&amp;DATE(2026,3,1),'Money Records'!$F:$F,"&lt;"&amp;DATE(2026,4,1))</f>
        <v>0</v>
      </c>
      <c r="C23" s="2">
        <f>SUMIFS('Payments'!$F:$F,'Payments'!$E:$E,"&gt;="&amp;DATE(2026,3,1),'Payments'!$E:$E,"&lt;"&amp;DATE(2026,4,1))</f>
        <v>0</v>
      </c>
      <c r="D23" s="2">
        <f>SUMIFS('Cashback'!$F:$F,'Cashback'!$E:$E,"&gt;="&amp;DATE(2026,3,1),'Cashback'!$E:$E,"&lt;"&amp;DATE(2026,4,1))</f>
        <v>0</v>
      </c>
      <c r="E23" s="3">
        <f>COUNTIFS('Payments'!$E:$E,"&gt;="&amp;DATE(2026,3,1),'Payments'!$E:$E,"&lt;"&amp;DATE(2026,4,1))</f>
        <v>0</v>
      </c>
    </row>
    <row r="24">
      <c r="A24" t="str">
        <v>Apr 2026</v>
      </c>
      <c r="B24" s="2">
        <f>SUMIFS('Money Records'!$G:$G,'Money Records'!$F:$F,"&gt;="&amp;DATE(2026,4,1),'Money Records'!$F:$F,"&lt;"&amp;DATE(2026,5,1))</f>
        <v>0</v>
      </c>
      <c r="C24" s="2">
        <f>SUMIFS('Payments'!$F:$F,'Payments'!$E:$E,"&gt;="&amp;DATE(2026,4,1),'Payments'!$E:$E,"&lt;"&amp;DATE(2026,5,1))</f>
        <v>0</v>
      </c>
      <c r="D24" s="2">
        <f>SUMIFS('Cashback'!$F:$F,'Cashback'!$E:$E,"&gt;="&amp;DATE(2026,4,1),'Cashback'!$E:$E,"&lt;"&amp;DATE(2026,5,1))</f>
        <v>0</v>
      </c>
      <c r="E24" s="3">
        <f>COUNTIFS('Payments'!$E:$E,"&gt;="&amp;DATE(2026,4,1),'Payments'!$E:$E,"&lt;"&amp;DATE(2026,5,1))</f>
        <v>0</v>
      </c>
    </row>
    <row r="25">
      <c r="A25" t="str">
        <v>May 2026</v>
      </c>
      <c r="B25" s="2">
        <f>SUMIFS('Money Records'!$G:$G,'Money Records'!$F:$F,"&gt;="&amp;DATE(2026,5,1),'Money Records'!$F:$F,"&lt;"&amp;DATE(2026,6,1))</f>
        <v>0</v>
      </c>
      <c r="C25" s="2">
        <f>SUMIFS('Payments'!$F:$F,'Payments'!$E:$E,"&gt;="&amp;DATE(2026,5,1),'Payments'!$E:$E,"&lt;"&amp;DATE(2026,6,1))</f>
        <v>0</v>
      </c>
      <c r="D25" s="2">
        <f>SUMIFS('Cashback'!$F:$F,'Cashback'!$E:$E,"&gt;="&amp;DATE(2026,5,1),'Cashback'!$E:$E,"&lt;"&amp;DATE(2026,6,1))</f>
        <v>0</v>
      </c>
      <c r="E25" s="3">
        <f>COUNTIFS('Payments'!$E:$E,"&gt;="&amp;DATE(2026,5,1),'Payments'!$E:$E,"&lt;"&amp;DATE(2026,6,1))</f>
        <v>0</v>
      </c>
    </row>
    <row r="26">
      <c r="A26" t="str">
        <v>Jun 2026</v>
      </c>
      <c r="B26" s="2">
        <f>SUMIFS('Money Records'!$G:$G,'Money Records'!$F:$F,"&gt;="&amp;DATE(2026,6,1),'Money Records'!$F:$F,"&lt;"&amp;DATE(2026,7,1))</f>
        <v>0</v>
      </c>
      <c r="C26" s="2">
        <f>SUMIFS('Payments'!$F:$F,'Payments'!$E:$E,"&gt;="&amp;DATE(2026,6,1),'Payments'!$E:$E,"&lt;"&amp;DATE(2026,7,1))</f>
        <v>0</v>
      </c>
      <c r="D26" s="2">
        <f>SUMIFS('Cashback'!$F:$F,'Cashback'!$E:$E,"&gt;="&amp;DATE(2026,6,1),'Cashback'!$E:$E,"&lt;"&amp;DATE(2026,7,1))</f>
        <v>0</v>
      </c>
      <c r="E26" s="3">
        <f>COUNTIFS('Payments'!$E:$E,"&gt;="&amp;DATE(2026,6,1),'Payments'!$E:$E,"&lt;"&amp;DATE(2026,7,1))</f>
        <v>0</v>
      </c>
    </row>
    <row r="27">
      <c r="A27" t="str">
        <v>Jul 2026</v>
      </c>
      <c r="B27" s="2">
        <f>SUMIFS('Money Records'!$G:$G,'Money Records'!$F:$F,"&gt;="&amp;DATE(2026,7,1),'Money Records'!$F:$F,"&lt;"&amp;DATE(2026,8,1))</f>
        <v>0</v>
      </c>
      <c r="C27" s="2">
        <f>SUMIFS('Payments'!$F:$F,'Payments'!$E:$E,"&gt;="&amp;DATE(2026,7,1),'Payments'!$E:$E,"&lt;"&amp;DATE(2026,8,1))</f>
        <v>0</v>
      </c>
      <c r="D27" s="2">
        <f>SUMIFS('Cashback'!$F:$F,'Cashback'!$E:$E,"&gt;="&amp;DATE(2026,7,1),'Cashback'!$E:$E,"&lt;"&amp;DATE(2026,8,1))</f>
        <v>0</v>
      </c>
      <c r="E27" s="3">
        <f>COUNTIFS('Payments'!$E:$E,"&gt;="&amp;DATE(2026,7,1),'Payments'!$E:$E,"&lt;"&amp;DATE(2026,8,1))</f>
        <v>0</v>
      </c>
    </row>
    <row r="28">
      <c r="A28" t="str">
        <v>Aug 2026</v>
      </c>
      <c r="B28" s="2">
        <f>SUMIFS('Money Records'!$G:$G,'Money Records'!$F:$F,"&gt;="&amp;DATE(2026,8,1),'Money Records'!$F:$F,"&lt;"&amp;DATE(2026,9,1))</f>
        <v>0</v>
      </c>
      <c r="C28" s="2">
        <f>SUMIFS('Payments'!$F:$F,'Payments'!$E:$E,"&gt;="&amp;DATE(2026,8,1),'Payments'!$E:$E,"&lt;"&amp;DATE(2026,9,1))</f>
        <v>0</v>
      </c>
      <c r="D28" s="2">
        <f>SUMIFS('Cashback'!$F:$F,'Cashback'!$E:$E,"&gt;="&amp;DATE(2026,8,1),'Cashback'!$E:$E,"&lt;"&amp;DATE(2026,9,1))</f>
        <v>0</v>
      </c>
      <c r="E28" s="3">
        <f>COUNTIFS('Payments'!$E:$E,"&gt;="&amp;DATE(2026,8,1),'Payments'!$E:$E,"&lt;"&amp;DATE(2026,9,1))</f>
        <v>0</v>
      </c>
    </row>
    <row r="29">
      <c r="A29" t="str">
        <v>Sep 2026</v>
      </c>
      <c r="B29" s="2">
        <f>SUMIFS('Money Records'!$G:$G,'Money Records'!$F:$F,"&gt;="&amp;DATE(2026,9,1),'Money Records'!$F:$F,"&lt;"&amp;DATE(2026,10,1))</f>
        <v>0</v>
      </c>
      <c r="C29" s="2">
        <f>SUMIFS('Payments'!$F:$F,'Payments'!$E:$E,"&gt;="&amp;DATE(2026,9,1),'Payments'!$E:$E,"&lt;"&amp;DATE(2026,10,1))</f>
        <v>0</v>
      </c>
      <c r="D29" s="2">
        <f>SUMIFS('Cashback'!$F:$F,'Cashback'!$E:$E,"&gt;="&amp;DATE(2026,9,1),'Cashback'!$E:$E,"&lt;"&amp;DATE(2026,10,1))</f>
        <v>0</v>
      </c>
      <c r="E29" s="3">
        <f>COUNTIFS('Payments'!$E:$E,"&gt;="&amp;DATE(2026,9,1),'Payments'!$E:$E,"&lt;"&amp;DATE(2026,10,1))</f>
        <v>0</v>
      </c>
    </row>
    <row r="30">
      <c r="A30" t="str">
        <v>Oct 2026</v>
      </c>
      <c r="B30" s="2">
        <f>SUMIFS('Money Records'!$G:$G,'Money Records'!$F:$F,"&gt;="&amp;DATE(2026,10,1),'Money Records'!$F:$F,"&lt;"&amp;DATE(2026,11,1))</f>
        <v>0</v>
      </c>
      <c r="C30" s="2">
        <f>SUMIFS('Payments'!$F:$F,'Payments'!$E:$E,"&gt;="&amp;DATE(2026,10,1),'Payments'!$E:$E,"&lt;"&amp;DATE(2026,11,1))</f>
        <v>0</v>
      </c>
      <c r="D30" s="2">
        <f>SUMIFS('Cashback'!$F:$F,'Cashback'!$E:$E,"&gt;="&amp;DATE(2026,10,1),'Cashback'!$E:$E,"&lt;"&amp;DATE(2026,11,1))</f>
        <v>0</v>
      </c>
      <c r="E30" s="3">
        <f>COUNTIFS('Payments'!$E:$E,"&gt;="&amp;DATE(2026,10,1),'Payments'!$E:$E,"&lt;"&amp;DATE(2026,11,1))</f>
        <v>0</v>
      </c>
    </row>
    <row r="31">
      <c r="A31" t="str">
        <v>Nov 2026</v>
      </c>
      <c r="B31" s="2">
        <f>SUMIFS('Money Records'!$G:$G,'Money Records'!$F:$F,"&gt;="&amp;DATE(2026,11,1),'Money Records'!$F:$F,"&lt;"&amp;DATE(2026,12,1))</f>
        <v>0</v>
      </c>
      <c r="C31" s="2">
        <f>SUMIFS('Payments'!$F:$F,'Payments'!$E:$E,"&gt;="&amp;DATE(2026,11,1),'Payments'!$E:$E,"&lt;"&amp;DATE(2026,12,1))</f>
        <v>0</v>
      </c>
      <c r="D31" s="2">
        <f>SUMIFS('Cashback'!$F:$F,'Cashback'!$E:$E,"&gt;="&amp;DATE(2026,11,1),'Cashback'!$E:$E,"&lt;"&amp;DATE(2026,12,1))</f>
        <v>0</v>
      </c>
      <c r="E31" s="3">
        <f>COUNTIFS('Payments'!$E:$E,"&gt;="&amp;DATE(2026,11,1),'Payments'!$E:$E,"&lt;"&amp;DATE(2026,12,1))</f>
        <v>0</v>
      </c>
    </row>
    <row r="32">
      <c r="A32" t="str">
        <v>Dec 2026</v>
      </c>
      <c r="B32" s="2">
        <f>SUMIFS('Money Records'!$G:$G,'Money Records'!$F:$F,"&gt;="&amp;DATE(2026,12,1),'Money Records'!$F:$F,"&lt;"&amp;DATE(2026,13,1))</f>
        <v>0</v>
      </c>
      <c r="C32" s="2">
        <f>SUMIFS('Payments'!$F:$F,'Payments'!$E:$E,"&gt;="&amp;DATE(2026,12,1),'Payments'!$E:$E,"&lt;"&amp;DATE(2026,13,1))</f>
        <v>0</v>
      </c>
      <c r="D32" s="2">
        <f>SUMIFS('Cashback'!$F:$F,'Cashback'!$E:$E,"&gt;="&amp;DATE(2026,12,1),'Cashback'!$E:$E,"&lt;"&amp;DATE(2026,13,1))</f>
        <v>0</v>
      </c>
      <c r="E32" s="3">
        <f>COUNTIFS('Payments'!$E:$E,"&gt;="&amp;DATE(2026,12,1),'Payments'!$E:$E,"&lt;"&amp;DATE(2026,13,1))</f>
        <v>0</v>
      </c>
    </row>
  </sheetData>
  <ignoredErrors>
    <ignoredError numberStoredAsText="1" sqref="A1:E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2.83203125" customWidth="1"/>
    <col min="2" max="2" width="24.83203125" customWidth="1"/>
    <col min="3" max="3" width="16.83203125" customWidth="1"/>
    <col min="4" max="4" width="30.83203125" customWidth="1"/>
    <col min="5" max="5" width="10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Person ID</v>
      </c>
      <c r="B1" t="str">
        <v>Name</v>
      </c>
      <c r="C1" t="str">
        <v>Phone</v>
      </c>
      <c r="D1" t="str">
        <v>Notes</v>
      </c>
      <c r="E1" t="str">
        <v>Archived</v>
      </c>
      <c r="F1" t="str">
        <v>Total Given</v>
      </c>
      <c r="G1" t="str">
        <v>Total Paid</v>
      </c>
      <c r="H1" t="str">
        <v>Total Cashback</v>
      </c>
      <c r="I1" t="str">
        <v>Outstanding</v>
      </c>
    </row>
  </sheetData>
  <ignoredErrors>
    <ignoredError numberStoredAsText="1" sqref="A1:I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12.83203125" customWidth="1"/>
    <col min="2" max="2" width="12.83203125" customWidth="1"/>
    <col min="3" max="3" width="20.83203125" customWidth="1"/>
    <col min="4" max="4" width="32.83203125" customWidth="1"/>
    <col min="5" max="5" width="14.83203125" customWidth="1"/>
    <col min="6" max="6" width="13.83203125" customWidth="1"/>
    <col min="7" max="7" width="15.83203125" customWidth="1"/>
    <col min="8" max="8" width="15.83203125" customWidth="1"/>
    <col min="9" max="9" width="15.83203125" customWidth="1"/>
    <col min="10" max="10" width="14.83203125" customWidth="1"/>
    <col min="11" max="11" width="14.83203125" customWidth="1"/>
    <col min="12" max="12" width="13.83203125" customWidth="1"/>
    <col min="13" max="13" width="14.83203125" customWidth="1"/>
    <col min="14" max="14" width="30.83203125" customWidth="1"/>
  </cols>
  <sheetData>
    <row r="1">
      <c r="A1" t="str">
        <v>Record ID</v>
      </c>
      <c r="B1" t="str">
        <v>Person ID</v>
      </c>
      <c r="C1" t="str">
        <v>Person Name</v>
      </c>
      <c r="D1" t="str">
        <v>Description</v>
      </c>
      <c r="E1" t="str">
        <v>Category</v>
      </c>
      <c r="F1" t="str">
        <v>Date Given</v>
      </c>
      <c r="G1" t="str">
        <v>Original Amount</v>
      </c>
      <c r="H1" t="str">
        <v>Amount Received</v>
      </c>
      <c r="I1" t="str">
        <v>Cashback Applied</v>
      </c>
      <c r="J1" t="str">
        <v>Outstanding</v>
      </c>
      <c r="K1" t="str">
        <v>Total Cashback</v>
      </c>
      <c r="L1" t="str">
        <v>Due Date</v>
      </c>
      <c r="M1" t="str">
        <v>Status</v>
      </c>
      <c r="N1" t="str">
        <v>Notes</v>
      </c>
    </row>
  </sheetData>
  <ignoredErrors>
    <ignoredError numberStoredAsText="1" sqref="A1:N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0.83203125" customWidth="1"/>
    <col min="5" max="5" width="13.83203125" customWidth="1"/>
    <col min="6" max="6" width="14.83203125" customWidth="1"/>
    <col min="7" max="7" width="14.83203125" customWidth="1"/>
    <col min="8" max="8" width="18.83203125" customWidth="1"/>
    <col min="9" max="9" width="30.83203125" customWidth="1"/>
  </cols>
  <sheetData>
    <row r="1">
      <c r="A1" t="str">
        <v>Payment ID</v>
      </c>
      <c r="B1" t="str">
        <v>Record ID</v>
      </c>
      <c r="C1" t="str">
        <v>Person ID</v>
      </c>
      <c r="D1" t="str">
        <v>Person Name</v>
      </c>
      <c r="E1" t="str">
        <v>Payment Date</v>
      </c>
      <c r="F1" t="str">
        <v>Amount</v>
      </c>
      <c r="G1" t="str">
        <v>Method</v>
      </c>
      <c r="H1" t="str">
        <v>Reference</v>
      </c>
      <c r="I1" t="str">
        <v>Notes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0.83203125" customWidth="1"/>
    <col min="5" max="5" width="13.83203125" customWidth="1"/>
    <col min="6" max="6" width="14.83203125" customWidth="1"/>
    <col min="7" max="7" width="26.83203125" customWidth="1"/>
    <col min="8" max="8" width="14.83203125" customWidth="1"/>
    <col min="9" max="9" width="30.83203125" customWidth="1"/>
  </cols>
  <sheetData>
    <row r="1">
      <c r="A1" t="str">
        <v>Cashback ID</v>
      </c>
      <c r="B1" t="str">
        <v>Record ID</v>
      </c>
      <c r="C1" t="str">
        <v>Person ID</v>
      </c>
      <c r="D1" t="str">
        <v>Person Name</v>
      </c>
      <c r="E1" t="str">
        <v>Cashback Date</v>
      </c>
      <c r="F1" t="str">
        <v>Amount</v>
      </c>
      <c r="G1" t="str">
        <v>Source</v>
      </c>
      <c r="H1" t="str">
        <v>Applied To Debt</v>
      </c>
      <c r="I1" t="str">
        <v>Notes</v>
      </c>
    </row>
  </sheetData>
  <ignoredErrors>
    <ignoredError numberStoredAsText="1" sqref="A1:I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4.83203125" customWidth="1"/>
    <col min="2" max="2" width="20.83203125" customWidth="1"/>
    <col min="3" max="3" width="32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</cols>
  <sheetData>
    <row r="1">
      <c r="A1" t="str">
        <v>January 2026</v>
      </c>
      <c r="B1" t="str">
        <v/>
      </c>
    </row>
    <row r="3">
      <c r="A3" t="str">
        <v>Metric</v>
      </c>
      <c r="B3" t="str">
        <v>Value</v>
      </c>
    </row>
    <row r="4">
      <c r="A4" t="str">
        <v>Money Given This Month</v>
      </c>
      <c r="B4" s="2">
        <f>SUMIFS('Money Records'!$G:$G,'Money Records'!$F:$F,"&gt;="&amp;DATE(2026,1,1),'Money Records'!$F:$F,"&lt;"&amp;DATE(2026,2,1))</f>
        <v>0</v>
      </c>
    </row>
    <row r="5">
      <c r="A5" t="str">
        <v>Payments Received This Month</v>
      </c>
      <c r="B5" s="2">
        <f>SUMIFS('Payments'!$F:$F,'Payments'!$E:$E,"&gt;="&amp;DATE(2026,1,1),'Payments'!$E:$E,"&lt;"&amp;DATE(2026,2,1))</f>
        <v>0</v>
      </c>
    </row>
    <row r="6">
      <c r="A6" t="str">
        <v>Cashback This Month</v>
      </c>
      <c r="B6" s="2">
        <f>SUMIFS('Cashback'!$F:$F,'Cashback'!$E:$E,"&gt;="&amp;DATE(2026,1,1),'Cashback'!$E:$E,"&lt;"&amp;DATE(2026,2,1))</f>
        <v>0</v>
      </c>
    </row>
    <row r="7">
      <c r="A7" t="str">
        <v>Number of Payment Transactions</v>
      </c>
      <c r="B7" s="3">
        <f>COUNTIFS('Payments'!$E:$E,"&gt;="&amp;DATE(2026,1,1),'Payments'!$E:$E,"&lt;"&amp;DATE(2026,2,1))</f>
        <v>0</v>
      </c>
    </row>
    <row r="8">
      <c r="A8" t="str">
        <v>Current Total Outstanding (all time)</v>
      </c>
      <c r="B8" s="2">
        <f>'Dashboard'!B8</f>
        <v>0</v>
      </c>
    </row>
    <row r="10">
      <c r="A10" t="str">
        <v>Money given this month</v>
      </c>
    </row>
    <row r="11">
      <c r="A11" t="str">
        <v>Record ID</v>
      </c>
      <c r="B11" t="str">
        <v>Person</v>
      </c>
      <c r="C11" t="str">
        <v>Description</v>
      </c>
      <c r="D11" t="str">
        <v>Category</v>
      </c>
      <c r="E11" t="str">
        <v>Date Given</v>
      </c>
      <c r="F11" t="str">
        <v>Original Amount</v>
      </c>
      <c r="G11" t="str">
        <v>Outstanding Now</v>
      </c>
    </row>
    <row r="12">
      <c r="A12" t="str">
        <v>(none)</v>
      </c>
    </row>
    <row r="14">
      <c r="A14" t="str">
        <v>Payments received this month</v>
      </c>
    </row>
    <row r="15">
      <c r="A15" t="str">
        <v>Payment ID</v>
      </c>
      <c r="B15" t="str">
        <v>Person</v>
      </c>
      <c r="C15" t="str">
        <v>Record</v>
      </c>
      <c r="D15" t="str">
        <v>Payment Date</v>
      </c>
      <c r="E15" t="str">
        <v>Amount</v>
      </c>
      <c r="F15" t="str">
        <v>Method</v>
      </c>
      <c r="G15" t="str">
        <v>Reference</v>
      </c>
    </row>
    <row r="16">
      <c r="A16" t="str">
        <v>(none)</v>
      </c>
    </row>
    <row r="18">
      <c r="A18" t="str">
        <v>Cashback this month</v>
      </c>
    </row>
    <row r="19">
      <c r="A19" t="str">
        <v>Cashback ID</v>
      </c>
      <c r="B19" t="str">
        <v>Person</v>
      </c>
      <c r="C19" t="str">
        <v>Record</v>
      </c>
      <c r="D19" t="str">
        <v>Cashback Date</v>
      </c>
      <c r="E19" t="str">
        <v>Amount</v>
      </c>
      <c r="F19" t="str">
        <v>Source</v>
      </c>
      <c r="G19" t="str">
        <v>Applied To Debt</v>
      </c>
    </row>
    <row r="20">
      <c r="A20" t="str">
        <v>(none)</v>
      </c>
    </row>
  </sheetData>
  <ignoredErrors>
    <ignoredError numberStoredAsText="1" sqref="A1:G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4.83203125" customWidth="1"/>
    <col min="2" max="2" width="20.83203125" customWidth="1"/>
    <col min="3" max="3" width="32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</cols>
  <sheetData>
    <row r="1">
      <c r="A1" t="str">
        <v>February 2026</v>
      </c>
      <c r="B1" t="str">
        <v/>
      </c>
    </row>
    <row r="3">
      <c r="A3" t="str">
        <v>Metric</v>
      </c>
      <c r="B3" t="str">
        <v>Value</v>
      </c>
    </row>
    <row r="4">
      <c r="A4" t="str">
        <v>Money Given This Month</v>
      </c>
      <c r="B4" s="2">
        <f>SUMIFS('Money Records'!$G:$G,'Money Records'!$F:$F,"&gt;="&amp;DATE(2026,2,1),'Money Records'!$F:$F,"&lt;"&amp;DATE(2026,3,1))</f>
        <v>0</v>
      </c>
    </row>
    <row r="5">
      <c r="A5" t="str">
        <v>Payments Received This Month</v>
      </c>
      <c r="B5" s="2">
        <f>SUMIFS('Payments'!$F:$F,'Payments'!$E:$E,"&gt;="&amp;DATE(2026,2,1),'Payments'!$E:$E,"&lt;"&amp;DATE(2026,3,1))</f>
        <v>0</v>
      </c>
    </row>
    <row r="6">
      <c r="A6" t="str">
        <v>Cashback This Month</v>
      </c>
      <c r="B6" s="2">
        <f>SUMIFS('Cashback'!$F:$F,'Cashback'!$E:$E,"&gt;="&amp;DATE(2026,2,1),'Cashback'!$E:$E,"&lt;"&amp;DATE(2026,3,1))</f>
        <v>0</v>
      </c>
    </row>
    <row r="7">
      <c r="A7" t="str">
        <v>Number of Payment Transactions</v>
      </c>
      <c r="B7" s="3">
        <f>COUNTIFS('Payments'!$E:$E,"&gt;="&amp;DATE(2026,2,1),'Payments'!$E:$E,"&lt;"&amp;DATE(2026,3,1))</f>
        <v>0</v>
      </c>
    </row>
    <row r="8">
      <c r="A8" t="str">
        <v>Current Total Outstanding (all time)</v>
      </c>
      <c r="B8" s="2">
        <f>'Dashboard'!B8</f>
        <v>0</v>
      </c>
    </row>
    <row r="10">
      <c r="A10" t="str">
        <v>Money given this month</v>
      </c>
    </row>
    <row r="11">
      <c r="A11" t="str">
        <v>Record ID</v>
      </c>
      <c r="B11" t="str">
        <v>Person</v>
      </c>
      <c r="C11" t="str">
        <v>Description</v>
      </c>
      <c r="D11" t="str">
        <v>Category</v>
      </c>
      <c r="E11" t="str">
        <v>Date Given</v>
      </c>
      <c r="F11" t="str">
        <v>Original Amount</v>
      </c>
      <c r="G11" t="str">
        <v>Outstanding Now</v>
      </c>
    </row>
    <row r="12">
      <c r="A12" t="str">
        <v>(none)</v>
      </c>
    </row>
    <row r="14">
      <c r="A14" t="str">
        <v>Payments received this month</v>
      </c>
    </row>
    <row r="15">
      <c r="A15" t="str">
        <v>Payment ID</v>
      </c>
      <c r="B15" t="str">
        <v>Person</v>
      </c>
      <c r="C15" t="str">
        <v>Record</v>
      </c>
      <c r="D15" t="str">
        <v>Payment Date</v>
      </c>
      <c r="E15" t="str">
        <v>Amount</v>
      </c>
      <c r="F15" t="str">
        <v>Method</v>
      </c>
      <c r="G15" t="str">
        <v>Reference</v>
      </c>
    </row>
    <row r="16">
      <c r="A16" t="str">
        <v>(none)</v>
      </c>
    </row>
    <row r="18">
      <c r="A18" t="str">
        <v>Cashback this month</v>
      </c>
    </row>
    <row r="19">
      <c r="A19" t="str">
        <v>Cashback ID</v>
      </c>
      <c r="B19" t="str">
        <v>Person</v>
      </c>
      <c r="C19" t="str">
        <v>Record</v>
      </c>
      <c r="D19" t="str">
        <v>Cashback Date</v>
      </c>
      <c r="E19" t="str">
        <v>Amount</v>
      </c>
      <c r="F19" t="str">
        <v>Source</v>
      </c>
      <c r="G19" t="str">
        <v>Applied To Debt</v>
      </c>
    </row>
    <row r="20">
      <c r="A20" t="str">
        <v>(none)</v>
      </c>
    </row>
  </sheetData>
  <ignoredErrors>
    <ignoredError numberStoredAsText="1" sqref="A1:G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4.83203125" customWidth="1"/>
    <col min="2" max="2" width="20.83203125" customWidth="1"/>
    <col min="3" max="3" width="32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</cols>
  <sheetData>
    <row r="1">
      <c r="A1" t="str">
        <v>March 2026</v>
      </c>
      <c r="B1" t="str">
        <v/>
      </c>
    </row>
    <row r="3">
      <c r="A3" t="str">
        <v>Metric</v>
      </c>
      <c r="B3" t="str">
        <v>Value</v>
      </c>
    </row>
    <row r="4">
      <c r="A4" t="str">
        <v>Money Given This Month</v>
      </c>
      <c r="B4" s="2">
        <f>SUMIFS('Money Records'!$G:$G,'Money Records'!$F:$F,"&gt;="&amp;DATE(2026,3,1),'Money Records'!$F:$F,"&lt;"&amp;DATE(2026,4,1))</f>
        <v>0</v>
      </c>
    </row>
    <row r="5">
      <c r="A5" t="str">
        <v>Payments Received This Month</v>
      </c>
      <c r="B5" s="2">
        <f>SUMIFS('Payments'!$F:$F,'Payments'!$E:$E,"&gt;="&amp;DATE(2026,3,1),'Payments'!$E:$E,"&lt;"&amp;DATE(2026,4,1))</f>
        <v>0</v>
      </c>
    </row>
    <row r="6">
      <c r="A6" t="str">
        <v>Cashback This Month</v>
      </c>
      <c r="B6" s="2">
        <f>SUMIFS('Cashback'!$F:$F,'Cashback'!$E:$E,"&gt;="&amp;DATE(2026,3,1),'Cashback'!$E:$E,"&lt;"&amp;DATE(2026,4,1))</f>
        <v>0</v>
      </c>
    </row>
    <row r="7">
      <c r="A7" t="str">
        <v>Number of Payment Transactions</v>
      </c>
      <c r="B7" s="3">
        <f>COUNTIFS('Payments'!$E:$E,"&gt;="&amp;DATE(2026,3,1),'Payments'!$E:$E,"&lt;"&amp;DATE(2026,4,1))</f>
        <v>0</v>
      </c>
    </row>
    <row r="8">
      <c r="A8" t="str">
        <v>Current Total Outstanding (all time)</v>
      </c>
      <c r="B8" s="2">
        <f>'Dashboard'!B8</f>
        <v>0</v>
      </c>
    </row>
    <row r="10">
      <c r="A10" t="str">
        <v>Money given this month</v>
      </c>
    </row>
    <row r="11">
      <c r="A11" t="str">
        <v>Record ID</v>
      </c>
      <c r="B11" t="str">
        <v>Person</v>
      </c>
      <c r="C11" t="str">
        <v>Description</v>
      </c>
      <c r="D11" t="str">
        <v>Category</v>
      </c>
      <c r="E11" t="str">
        <v>Date Given</v>
      </c>
      <c r="F11" t="str">
        <v>Original Amount</v>
      </c>
      <c r="G11" t="str">
        <v>Outstanding Now</v>
      </c>
    </row>
    <row r="12">
      <c r="A12" t="str">
        <v>(none)</v>
      </c>
    </row>
    <row r="14">
      <c r="A14" t="str">
        <v>Payments received this month</v>
      </c>
    </row>
    <row r="15">
      <c r="A15" t="str">
        <v>Payment ID</v>
      </c>
      <c r="B15" t="str">
        <v>Person</v>
      </c>
      <c r="C15" t="str">
        <v>Record</v>
      </c>
      <c r="D15" t="str">
        <v>Payment Date</v>
      </c>
      <c r="E15" t="str">
        <v>Amount</v>
      </c>
      <c r="F15" t="str">
        <v>Method</v>
      </c>
      <c r="G15" t="str">
        <v>Reference</v>
      </c>
    </row>
    <row r="16">
      <c r="A16" t="str">
        <v>(none)</v>
      </c>
    </row>
    <row r="18">
      <c r="A18" t="str">
        <v>Cashback this month</v>
      </c>
    </row>
    <row r="19">
      <c r="A19" t="str">
        <v>Cashback ID</v>
      </c>
      <c r="B19" t="str">
        <v>Person</v>
      </c>
      <c r="C19" t="str">
        <v>Record</v>
      </c>
      <c r="D19" t="str">
        <v>Cashback Date</v>
      </c>
      <c r="E19" t="str">
        <v>Amount</v>
      </c>
      <c r="F19" t="str">
        <v>Source</v>
      </c>
      <c r="G19" t="str">
        <v>Applied To Debt</v>
      </c>
    </row>
    <row r="20">
      <c r="A20" t="str">
        <v>(none)</v>
      </c>
    </row>
  </sheetData>
  <ignoredErrors>
    <ignoredError numberStoredAsText="1" sqref="A1:G2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4.83203125" customWidth="1"/>
    <col min="2" max="2" width="20.83203125" customWidth="1"/>
    <col min="3" max="3" width="32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</cols>
  <sheetData>
    <row r="1">
      <c r="A1" t="str">
        <v>April 2026</v>
      </c>
      <c r="B1" t="str">
        <v/>
      </c>
    </row>
    <row r="3">
      <c r="A3" t="str">
        <v>Metric</v>
      </c>
      <c r="B3" t="str">
        <v>Value</v>
      </c>
    </row>
    <row r="4">
      <c r="A4" t="str">
        <v>Money Given This Month</v>
      </c>
      <c r="B4" s="2">
        <f>SUMIFS('Money Records'!$G:$G,'Money Records'!$F:$F,"&gt;="&amp;DATE(2026,4,1),'Money Records'!$F:$F,"&lt;"&amp;DATE(2026,5,1))</f>
        <v>0</v>
      </c>
    </row>
    <row r="5">
      <c r="A5" t="str">
        <v>Payments Received This Month</v>
      </c>
      <c r="B5" s="2">
        <f>SUMIFS('Payments'!$F:$F,'Payments'!$E:$E,"&gt;="&amp;DATE(2026,4,1),'Payments'!$E:$E,"&lt;"&amp;DATE(2026,5,1))</f>
        <v>0</v>
      </c>
    </row>
    <row r="6">
      <c r="A6" t="str">
        <v>Cashback This Month</v>
      </c>
      <c r="B6" s="2">
        <f>SUMIFS('Cashback'!$F:$F,'Cashback'!$E:$E,"&gt;="&amp;DATE(2026,4,1),'Cashback'!$E:$E,"&lt;"&amp;DATE(2026,5,1))</f>
        <v>0</v>
      </c>
    </row>
    <row r="7">
      <c r="A7" t="str">
        <v>Number of Payment Transactions</v>
      </c>
      <c r="B7" s="3">
        <f>COUNTIFS('Payments'!$E:$E,"&gt;="&amp;DATE(2026,4,1),'Payments'!$E:$E,"&lt;"&amp;DATE(2026,5,1))</f>
        <v>0</v>
      </c>
    </row>
    <row r="8">
      <c r="A8" t="str">
        <v>Current Total Outstanding (all time)</v>
      </c>
      <c r="B8" s="2">
        <f>'Dashboard'!B8</f>
        <v>0</v>
      </c>
    </row>
    <row r="10">
      <c r="A10" t="str">
        <v>Money given this month</v>
      </c>
    </row>
    <row r="11">
      <c r="A11" t="str">
        <v>Record ID</v>
      </c>
      <c r="B11" t="str">
        <v>Person</v>
      </c>
      <c r="C11" t="str">
        <v>Description</v>
      </c>
      <c r="D11" t="str">
        <v>Category</v>
      </c>
      <c r="E11" t="str">
        <v>Date Given</v>
      </c>
      <c r="F11" t="str">
        <v>Original Amount</v>
      </c>
      <c r="G11" t="str">
        <v>Outstanding Now</v>
      </c>
    </row>
    <row r="12">
      <c r="A12" t="str">
        <v>(none)</v>
      </c>
    </row>
    <row r="14">
      <c r="A14" t="str">
        <v>Payments received this month</v>
      </c>
    </row>
    <row r="15">
      <c r="A15" t="str">
        <v>Payment ID</v>
      </c>
      <c r="B15" t="str">
        <v>Person</v>
      </c>
      <c r="C15" t="str">
        <v>Record</v>
      </c>
      <c r="D15" t="str">
        <v>Payment Date</v>
      </c>
      <c r="E15" t="str">
        <v>Amount</v>
      </c>
      <c r="F15" t="str">
        <v>Method</v>
      </c>
      <c r="G15" t="str">
        <v>Reference</v>
      </c>
    </row>
    <row r="16">
      <c r="A16" t="str">
        <v>(none)</v>
      </c>
    </row>
    <row r="18">
      <c r="A18" t="str">
        <v>Cashback this month</v>
      </c>
    </row>
    <row r="19">
      <c r="A19" t="str">
        <v>Cashback ID</v>
      </c>
      <c r="B19" t="str">
        <v>Person</v>
      </c>
      <c r="C19" t="str">
        <v>Record</v>
      </c>
      <c r="D19" t="str">
        <v>Cashback Date</v>
      </c>
      <c r="E19" t="str">
        <v>Amount</v>
      </c>
      <c r="F19" t="str">
        <v>Source</v>
      </c>
      <c r="G19" t="str">
        <v>Applied To Debt</v>
      </c>
    </row>
    <row r="20">
      <c r="A20" t="str">
        <v>(none)</v>
      </c>
    </row>
  </sheetData>
  <ignoredErrors>
    <ignoredError numberStoredAsText="1" sqref="A1:G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4.83203125" customWidth="1"/>
    <col min="2" max="2" width="20.83203125" customWidth="1"/>
    <col min="3" max="3" width="32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</cols>
  <sheetData>
    <row r="1">
      <c r="A1" t="str">
        <v>May 2026</v>
      </c>
      <c r="B1" t="str">
        <v/>
      </c>
    </row>
    <row r="3">
      <c r="A3" t="str">
        <v>Metric</v>
      </c>
      <c r="B3" t="str">
        <v>Value</v>
      </c>
    </row>
    <row r="4">
      <c r="A4" t="str">
        <v>Money Given This Month</v>
      </c>
      <c r="B4" s="2">
        <f>SUMIFS('Money Records'!$G:$G,'Money Records'!$F:$F,"&gt;="&amp;DATE(2026,5,1),'Money Records'!$F:$F,"&lt;"&amp;DATE(2026,6,1))</f>
        <v>0</v>
      </c>
    </row>
    <row r="5">
      <c r="A5" t="str">
        <v>Payments Received This Month</v>
      </c>
      <c r="B5" s="2">
        <f>SUMIFS('Payments'!$F:$F,'Payments'!$E:$E,"&gt;="&amp;DATE(2026,5,1),'Payments'!$E:$E,"&lt;"&amp;DATE(2026,6,1))</f>
        <v>0</v>
      </c>
    </row>
    <row r="6">
      <c r="A6" t="str">
        <v>Cashback This Month</v>
      </c>
      <c r="B6" s="2">
        <f>SUMIFS('Cashback'!$F:$F,'Cashback'!$E:$E,"&gt;="&amp;DATE(2026,5,1),'Cashback'!$E:$E,"&lt;"&amp;DATE(2026,6,1))</f>
        <v>0</v>
      </c>
    </row>
    <row r="7">
      <c r="A7" t="str">
        <v>Number of Payment Transactions</v>
      </c>
      <c r="B7" s="3">
        <f>COUNTIFS('Payments'!$E:$E,"&gt;="&amp;DATE(2026,5,1),'Payments'!$E:$E,"&lt;"&amp;DATE(2026,6,1))</f>
        <v>0</v>
      </c>
    </row>
    <row r="8">
      <c r="A8" t="str">
        <v>Current Total Outstanding (all time)</v>
      </c>
      <c r="B8" s="2">
        <f>'Dashboard'!B8</f>
        <v>0</v>
      </c>
    </row>
    <row r="10">
      <c r="A10" t="str">
        <v>Money given this month</v>
      </c>
    </row>
    <row r="11">
      <c r="A11" t="str">
        <v>Record ID</v>
      </c>
      <c r="B11" t="str">
        <v>Person</v>
      </c>
      <c r="C11" t="str">
        <v>Description</v>
      </c>
      <c r="D11" t="str">
        <v>Category</v>
      </c>
      <c r="E11" t="str">
        <v>Date Given</v>
      </c>
      <c r="F11" t="str">
        <v>Original Amount</v>
      </c>
      <c r="G11" t="str">
        <v>Outstanding Now</v>
      </c>
    </row>
    <row r="12">
      <c r="A12" t="str">
        <v>(none)</v>
      </c>
    </row>
    <row r="14">
      <c r="A14" t="str">
        <v>Payments received this month</v>
      </c>
    </row>
    <row r="15">
      <c r="A15" t="str">
        <v>Payment ID</v>
      </c>
      <c r="B15" t="str">
        <v>Person</v>
      </c>
      <c r="C15" t="str">
        <v>Record</v>
      </c>
      <c r="D15" t="str">
        <v>Payment Date</v>
      </c>
      <c r="E15" t="str">
        <v>Amount</v>
      </c>
      <c r="F15" t="str">
        <v>Method</v>
      </c>
      <c r="G15" t="str">
        <v>Reference</v>
      </c>
    </row>
    <row r="16">
      <c r="A16" t="str">
        <v>(none)</v>
      </c>
    </row>
    <row r="18">
      <c r="A18" t="str">
        <v>Cashback this month</v>
      </c>
    </row>
    <row r="19">
      <c r="A19" t="str">
        <v>Cashback ID</v>
      </c>
      <c r="B19" t="str">
        <v>Person</v>
      </c>
      <c r="C19" t="str">
        <v>Record</v>
      </c>
      <c r="D19" t="str">
        <v>Cashback Date</v>
      </c>
      <c r="E19" t="str">
        <v>Amount</v>
      </c>
      <c r="F19" t="str">
        <v>Source</v>
      </c>
      <c r="G19" t="str">
        <v>Applied To Debt</v>
      </c>
    </row>
    <row r="20">
      <c r="A20" t="str">
        <v>(none)</v>
      </c>
    </row>
  </sheetData>
  <ignoredErrors>
    <ignoredError numberStoredAsText="1" sqref="A1:G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4.83203125" customWidth="1"/>
    <col min="2" max="2" width="20.83203125" customWidth="1"/>
    <col min="3" max="3" width="32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</cols>
  <sheetData>
    <row r="1">
      <c r="A1" t="str">
        <v>June 2026</v>
      </c>
      <c r="B1" t="str">
        <v/>
      </c>
    </row>
    <row r="3">
      <c r="A3" t="str">
        <v>Metric</v>
      </c>
      <c r="B3" t="str">
        <v>Value</v>
      </c>
    </row>
    <row r="4">
      <c r="A4" t="str">
        <v>Money Given This Month</v>
      </c>
      <c r="B4" s="2">
        <f>SUMIFS('Money Records'!$G:$G,'Money Records'!$F:$F,"&gt;="&amp;DATE(2026,6,1),'Money Records'!$F:$F,"&lt;"&amp;DATE(2026,7,1))</f>
        <v>0</v>
      </c>
    </row>
    <row r="5">
      <c r="A5" t="str">
        <v>Payments Received This Month</v>
      </c>
      <c r="B5" s="2">
        <f>SUMIFS('Payments'!$F:$F,'Payments'!$E:$E,"&gt;="&amp;DATE(2026,6,1),'Payments'!$E:$E,"&lt;"&amp;DATE(2026,7,1))</f>
        <v>0</v>
      </c>
    </row>
    <row r="6">
      <c r="A6" t="str">
        <v>Cashback This Month</v>
      </c>
      <c r="B6" s="2">
        <f>SUMIFS('Cashback'!$F:$F,'Cashback'!$E:$E,"&gt;="&amp;DATE(2026,6,1),'Cashback'!$E:$E,"&lt;"&amp;DATE(2026,7,1))</f>
        <v>0</v>
      </c>
    </row>
    <row r="7">
      <c r="A7" t="str">
        <v>Number of Payment Transactions</v>
      </c>
      <c r="B7" s="3">
        <f>COUNTIFS('Payments'!$E:$E,"&gt;="&amp;DATE(2026,6,1),'Payments'!$E:$E,"&lt;"&amp;DATE(2026,7,1))</f>
        <v>0</v>
      </c>
    </row>
    <row r="8">
      <c r="A8" t="str">
        <v>Current Total Outstanding (all time)</v>
      </c>
      <c r="B8" s="2">
        <f>'Dashboard'!B8</f>
        <v>0</v>
      </c>
    </row>
    <row r="10">
      <c r="A10" t="str">
        <v>Money given this month</v>
      </c>
    </row>
    <row r="11">
      <c r="A11" t="str">
        <v>Record ID</v>
      </c>
      <c r="B11" t="str">
        <v>Person</v>
      </c>
      <c r="C11" t="str">
        <v>Description</v>
      </c>
      <c r="D11" t="str">
        <v>Category</v>
      </c>
      <c r="E11" t="str">
        <v>Date Given</v>
      </c>
      <c r="F11" t="str">
        <v>Original Amount</v>
      </c>
      <c r="G11" t="str">
        <v>Outstanding Now</v>
      </c>
    </row>
    <row r="12">
      <c r="A12" t="str">
        <v>(none)</v>
      </c>
    </row>
    <row r="14">
      <c r="A14" t="str">
        <v>Payments received this month</v>
      </c>
    </row>
    <row r="15">
      <c r="A15" t="str">
        <v>Payment ID</v>
      </c>
      <c r="B15" t="str">
        <v>Person</v>
      </c>
      <c r="C15" t="str">
        <v>Record</v>
      </c>
      <c r="D15" t="str">
        <v>Payment Date</v>
      </c>
      <c r="E15" t="str">
        <v>Amount</v>
      </c>
      <c r="F15" t="str">
        <v>Method</v>
      </c>
      <c r="G15" t="str">
        <v>Reference</v>
      </c>
    </row>
    <row r="16">
      <c r="A16" t="str">
        <v>(none)</v>
      </c>
    </row>
    <row r="18">
      <c r="A18" t="str">
        <v>Cashback this month</v>
      </c>
    </row>
    <row r="19">
      <c r="A19" t="str">
        <v>Cashback ID</v>
      </c>
      <c r="B19" t="str">
        <v>Person</v>
      </c>
      <c r="C19" t="str">
        <v>Record</v>
      </c>
      <c r="D19" t="str">
        <v>Cashback Date</v>
      </c>
      <c r="E19" t="str">
        <v>Amount</v>
      </c>
      <c r="F19" t="str">
        <v>Source</v>
      </c>
      <c r="G19" t="str">
        <v>Applied To Debt</v>
      </c>
    </row>
    <row r="20">
      <c r="A20" t="str">
        <v>(none)</v>
      </c>
    </row>
  </sheetData>
  <ignoredErrors>
    <ignoredError numberStoredAsText="1" sqref="A1:G2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4.83203125" customWidth="1"/>
    <col min="2" max="2" width="20.83203125" customWidth="1"/>
    <col min="3" max="3" width="32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</cols>
  <sheetData>
    <row r="1">
      <c r="A1" t="str">
        <v>July 2026</v>
      </c>
      <c r="B1" t="str">
        <v/>
      </c>
    </row>
    <row r="3">
      <c r="A3" t="str">
        <v>Metric</v>
      </c>
      <c r="B3" t="str">
        <v>Value</v>
      </c>
    </row>
    <row r="4">
      <c r="A4" t="str">
        <v>Money Given This Month</v>
      </c>
      <c r="B4" s="2">
        <f>SUMIFS('Money Records'!$G:$G,'Money Records'!$F:$F,"&gt;="&amp;DATE(2026,7,1),'Money Records'!$F:$F,"&lt;"&amp;DATE(2026,8,1))</f>
        <v>0</v>
      </c>
    </row>
    <row r="5">
      <c r="A5" t="str">
        <v>Payments Received This Month</v>
      </c>
      <c r="B5" s="2">
        <f>SUMIFS('Payments'!$F:$F,'Payments'!$E:$E,"&gt;="&amp;DATE(2026,7,1),'Payments'!$E:$E,"&lt;"&amp;DATE(2026,8,1))</f>
        <v>0</v>
      </c>
    </row>
    <row r="6">
      <c r="A6" t="str">
        <v>Cashback This Month</v>
      </c>
      <c r="B6" s="2">
        <f>SUMIFS('Cashback'!$F:$F,'Cashback'!$E:$E,"&gt;="&amp;DATE(2026,7,1),'Cashback'!$E:$E,"&lt;"&amp;DATE(2026,8,1))</f>
        <v>0</v>
      </c>
    </row>
    <row r="7">
      <c r="A7" t="str">
        <v>Number of Payment Transactions</v>
      </c>
      <c r="B7" s="3">
        <f>COUNTIFS('Payments'!$E:$E,"&gt;="&amp;DATE(2026,7,1),'Payments'!$E:$E,"&lt;"&amp;DATE(2026,8,1))</f>
        <v>0</v>
      </c>
    </row>
    <row r="8">
      <c r="A8" t="str">
        <v>Current Total Outstanding (all time)</v>
      </c>
      <c r="B8" s="2">
        <f>'Dashboard'!B8</f>
        <v>0</v>
      </c>
    </row>
    <row r="10">
      <c r="A10" t="str">
        <v>Money given this month</v>
      </c>
    </row>
    <row r="11">
      <c r="A11" t="str">
        <v>Record ID</v>
      </c>
      <c r="B11" t="str">
        <v>Person</v>
      </c>
      <c r="C11" t="str">
        <v>Description</v>
      </c>
      <c r="D11" t="str">
        <v>Category</v>
      </c>
      <c r="E11" t="str">
        <v>Date Given</v>
      </c>
      <c r="F11" t="str">
        <v>Original Amount</v>
      </c>
      <c r="G11" t="str">
        <v>Outstanding Now</v>
      </c>
    </row>
    <row r="12">
      <c r="A12" t="str">
        <v>(none)</v>
      </c>
    </row>
    <row r="14">
      <c r="A14" t="str">
        <v>Payments received this month</v>
      </c>
    </row>
    <row r="15">
      <c r="A15" t="str">
        <v>Payment ID</v>
      </c>
      <c r="B15" t="str">
        <v>Person</v>
      </c>
      <c r="C15" t="str">
        <v>Record</v>
      </c>
      <c r="D15" t="str">
        <v>Payment Date</v>
      </c>
      <c r="E15" t="str">
        <v>Amount</v>
      </c>
      <c r="F15" t="str">
        <v>Method</v>
      </c>
      <c r="G15" t="str">
        <v>Reference</v>
      </c>
    </row>
    <row r="16">
      <c r="A16" t="str">
        <v>(none)</v>
      </c>
    </row>
    <row r="18">
      <c r="A18" t="str">
        <v>Cashback this month</v>
      </c>
    </row>
    <row r="19">
      <c r="A19" t="str">
        <v>Cashback ID</v>
      </c>
      <c r="B19" t="str">
        <v>Person</v>
      </c>
      <c r="C19" t="str">
        <v>Record</v>
      </c>
      <c r="D19" t="str">
        <v>Cashback Date</v>
      </c>
      <c r="E19" t="str">
        <v>Amount</v>
      </c>
      <c r="F19" t="str">
        <v>Source</v>
      </c>
      <c r="G19" t="str">
        <v>Applied To Debt</v>
      </c>
    </row>
    <row r="20">
      <c r="A20" t="str">
        <v>(none)</v>
      </c>
    </row>
  </sheetData>
  <ignoredErrors>
    <ignoredError numberStoredAsText="1" sqref="A1:G2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4.83203125" customWidth="1"/>
    <col min="2" max="2" width="20.83203125" customWidth="1"/>
    <col min="3" max="3" width="32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</cols>
  <sheetData>
    <row r="1">
      <c r="A1" t="str">
        <v>August 2026</v>
      </c>
      <c r="B1" t="str">
        <v/>
      </c>
    </row>
    <row r="3">
      <c r="A3" t="str">
        <v>Metric</v>
      </c>
      <c r="B3" t="str">
        <v>Value</v>
      </c>
    </row>
    <row r="4">
      <c r="A4" t="str">
        <v>Money Given This Month</v>
      </c>
      <c r="B4" s="2">
        <f>SUMIFS('Money Records'!$G:$G,'Money Records'!$F:$F,"&gt;="&amp;DATE(2026,8,1),'Money Records'!$F:$F,"&lt;"&amp;DATE(2026,9,1))</f>
        <v>0</v>
      </c>
    </row>
    <row r="5">
      <c r="A5" t="str">
        <v>Payments Received This Month</v>
      </c>
      <c r="B5" s="2">
        <f>SUMIFS('Payments'!$F:$F,'Payments'!$E:$E,"&gt;="&amp;DATE(2026,8,1),'Payments'!$E:$E,"&lt;"&amp;DATE(2026,9,1))</f>
        <v>0</v>
      </c>
    </row>
    <row r="6">
      <c r="A6" t="str">
        <v>Cashback This Month</v>
      </c>
      <c r="B6" s="2">
        <f>SUMIFS('Cashback'!$F:$F,'Cashback'!$E:$E,"&gt;="&amp;DATE(2026,8,1),'Cashback'!$E:$E,"&lt;"&amp;DATE(2026,9,1))</f>
        <v>0</v>
      </c>
    </row>
    <row r="7">
      <c r="A7" t="str">
        <v>Number of Payment Transactions</v>
      </c>
      <c r="B7" s="3">
        <f>COUNTIFS('Payments'!$E:$E,"&gt;="&amp;DATE(2026,8,1),'Payments'!$E:$E,"&lt;"&amp;DATE(2026,9,1))</f>
        <v>0</v>
      </c>
    </row>
    <row r="8">
      <c r="A8" t="str">
        <v>Current Total Outstanding (all time)</v>
      </c>
      <c r="B8" s="2">
        <f>'Dashboard'!B8</f>
        <v>0</v>
      </c>
    </row>
    <row r="10">
      <c r="A10" t="str">
        <v>Money given this month</v>
      </c>
    </row>
    <row r="11">
      <c r="A11" t="str">
        <v>Record ID</v>
      </c>
      <c r="B11" t="str">
        <v>Person</v>
      </c>
      <c r="C11" t="str">
        <v>Description</v>
      </c>
      <c r="D11" t="str">
        <v>Category</v>
      </c>
      <c r="E11" t="str">
        <v>Date Given</v>
      </c>
      <c r="F11" t="str">
        <v>Original Amount</v>
      </c>
      <c r="G11" t="str">
        <v>Outstanding Now</v>
      </c>
    </row>
    <row r="12">
      <c r="A12" t="str">
        <v>(none)</v>
      </c>
    </row>
    <row r="14">
      <c r="A14" t="str">
        <v>Payments received this month</v>
      </c>
    </row>
    <row r="15">
      <c r="A15" t="str">
        <v>Payment ID</v>
      </c>
      <c r="B15" t="str">
        <v>Person</v>
      </c>
      <c r="C15" t="str">
        <v>Record</v>
      </c>
      <c r="D15" t="str">
        <v>Payment Date</v>
      </c>
      <c r="E15" t="str">
        <v>Amount</v>
      </c>
      <c r="F15" t="str">
        <v>Method</v>
      </c>
      <c r="G15" t="str">
        <v>Reference</v>
      </c>
    </row>
    <row r="16">
      <c r="A16" t="str">
        <v>(none)</v>
      </c>
    </row>
    <row r="18">
      <c r="A18" t="str">
        <v>Cashback this month</v>
      </c>
    </row>
    <row r="19">
      <c r="A19" t="str">
        <v>Cashback ID</v>
      </c>
      <c r="B19" t="str">
        <v>Person</v>
      </c>
      <c r="C19" t="str">
        <v>Record</v>
      </c>
      <c r="D19" t="str">
        <v>Cashback Date</v>
      </c>
      <c r="E19" t="str">
        <v>Amount</v>
      </c>
      <c r="F19" t="str">
        <v>Source</v>
      </c>
      <c r="G19" t="str">
        <v>Applied To Debt</v>
      </c>
    </row>
    <row r="20">
      <c r="A20" t="str">
        <v>(none)</v>
      </c>
    </row>
  </sheetData>
  <ignoredErrors>
    <ignoredError numberStoredAsText="1" sqref="A1:G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4.83203125" customWidth="1"/>
    <col min="2" max="2" width="20.83203125" customWidth="1"/>
    <col min="3" max="3" width="32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</cols>
  <sheetData>
    <row r="1">
      <c r="A1" t="str">
        <v>September 2026</v>
      </c>
      <c r="B1" t="str">
        <v/>
      </c>
    </row>
    <row r="3">
      <c r="A3" t="str">
        <v>Metric</v>
      </c>
      <c r="B3" t="str">
        <v>Value</v>
      </c>
    </row>
    <row r="4">
      <c r="A4" t="str">
        <v>Money Given This Month</v>
      </c>
      <c r="B4" s="2">
        <f>SUMIFS('Money Records'!$G:$G,'Money Records'!$F:$F,"&gt;="&amp;DATE(2026,9,1),'Money Records'!$F:$F,"&lt;"&amp;DATE(2026,10,1))</f>
        <v>0</v>
      </c>
    </row>
    <row r="5">
      <c r="A5" t="str">
        <v>Payments Received This Month</v>
      </c>
      <c r="B5" s="2">
        <f>SUMIFS('Payments'!$F:$F,'Payments'!$E:$E,"&gt;="&amp;DATE(2026,9,1),'Payments'!$E:$E,"&lt;"&amp;DATE(2026,10,1))</f>
        <v>0</v>
      </c>
    </row>
    <row r="6">
      <c r="A6" t="str">
        <v>Cashback This Month</v>
      </c>
      <c r="B6" s="2">
        <f>SUMIFS('Cashback'!$F:$F,'Cashback'!$E:$E,"&gt;="&amp;DATE(2026,9,1),'Cashback'!$E:$E,"&lt;"&amp;DATE(2026,10,1))</f>
        <v>0</v>
      </c>
    </row>
    <row r="7">
      <c r="A7" t="str">
        <v>Number of Payment Transactions</v>
      </c>
      <c r="B7" s="3">
        <f>COUNTIFS('Payments'!$E:$E,"&gt;="&amp;DATE(2026,9,1),'Payments'!$E:$E,"&lt;"&amp;DATE(2026,10,1))</f>
        <v>0</v>
      </c>
    </row>
    <row r="8">
      <c r="A8" t="str">
        <v>Current Total Outstanding (all time)</v>
      </c>
      <c r="B8" s="2">
        <f>'Dashboard'!B8</f>
        <v>0</v>
      </c>
    </row>
    <row r="10">
      <c r="A10" t="str">
        <v>Money given this month</v>
      </c>
    </row>
    <row r="11">
      <c r="A11" t="str">
        <v>Record ID</v>
      </c>
      <c r="B11" t="str">
        <v>Person</v>
      </c>
      <c r="C11" t="str">
        <v>Description</v>
      </c>
      <c r="D11" t="str">
        <v>Category</v>
      </c>
      <c r="E11" t="str">
        <v>Date Given</v>
      </c>
      <c r="F11" t="str">
        <v>Original Amount</v>
      </c>
      <c r="G11" t="str">
        <v>Outstanding Now</v>
      </c>
    </row>
    <row r="12">
      <c r="A12" t="str">
        <v>(none)</v>
      </c>
    </row>
    <row r="14">
      <c r="A14" t="str">
        <v>Payments received this month</v>
      </c>
    </row>
    <row r="15">
      <c r="A15" t="str">
        <v>Payment ID</v>
      </c>
      <c r="B15" t="str">
        <v>Person</v>
      </c>
      <c r="C15" t="str">
        <v>Record</v>
      </c>
      <c r="D15" t="str">
        <v>Payment Date</v>
      </c>
      <c r="E15" t="str">
        <v>Amount</v>
      </c>
      <c r="F15" t="str">
        <v>Method</v>
      </c>
      <c r="G15" t="str">
        <v>Reference</v>
      </c>
    </row>
    <row r="16">
      <c r="A16" t="str">
        <v>(none)</v>
      </c>
    </row>
    <row r="18">
      <c r="A18" t="str">
        <v>Cashback this month</v>
      </c>
    </row>
    <row r="19">
      <c r="A19" t="str">
        <v>Cashback ID</v>
      </c>
      <c r="B19" t="str">
        <v>Person</v>
      </c>
      <c r="C19" t="str">
        <v>Record</v>
      </c>
      <c r="D19" t="str">
        <v>Cashback Date</v>
      </c>
      <c r="E19" t="str">
        <v>Amount</v>
      </c>
      <c r="F19" t="str">
        <v>Source</v>
      </c>
      <c r="G19" t="str">
        <v>Applied To Debt</v>
      </c>
    </row>
    <row r="20">
      <c r="A20" t="str">
        <v>(none)</v>
      </c>
    </row>
  </sheetData>
  <ignoredErrors>
    <ignoredError numberStoredAsText="1" sqref="A1:G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4.83203125" customWidth="1"/>
    <col min="2" max="2" width="20.83203125" customWidth="1"/>
    <col min="3" max="3" width="32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</cols>
  <sheetData>
    <row r="1">
      <c r="A1" t="str">
        <v>October 2026</v>
      </c>
      <c r="B1" t="str">
        <v/>
      </c>
    </row>
    <row r="3">
      <c r="A3" t="str">
        <v>Metric</v>
      </c>
      <c r="B3" t="str">
        <v>Value</v>
      </c>
    </row>
    <row r="4">
      <c r="A4" t="str">
        <v>Money Given This Month</v>
      </c>
      <c r="B4" s="2">
        <f>SUMIFS('Money Records'!$G:$G,'Money Records'!$F:$F,"&gt;="&amp;DATE(2026,10,1),'Money Records'!$F:$F,"&lt;"&amp;DATE(2026,11,1))</f>
        <v>0</v>
      </c>
    </row>
    <row r="5">
      <c r="A5" t="str">
        <v>Payments Received This Month</v>
      </c>
      <c r="B5" s="2">
        <f>SUMIFS('Payments'!$F:$F,'Payments'!$E:$E,"&gt;="&amp;DATE(2026,10,1),'Payments'!$E:$E,"&lt;"&amp;DATE(2026,11,1))</f>
        <v>0</v>
      </c>
    </row>
    <row r="6">
      <c r="A6" t="str">
        <v>Cashback This Month</v>
      </c>
      <c r="B6" s="2">
        <f>SUMIFS('Cashback'!$F:$F,'Cashback'!$E:$E,"&gt;="&amp;DATE(2026,10,1),'Cashback'!$E:$E,"&lt;"&amp;DATE(2026,11,1))</f>
        <v>0</v>
      </c>
    </row>
    <row r="7">
      <c r="A7" t="str">
        <v>Number of Payment Transactions</v>
      </c>
      <c r="B7" s="3">
        <f>COUNTIFS('Payments'!$E:$E,"&gt;="&amp;DATE(2026,10,1),'Payments'!$E:$E,"&lt;"&amp;DATE(2026,11,1))</f>
        <v>0</v>
      </c>
    </row>
    <row r="8">
      <c r="A8" t="str">
        <v>Current Total Outstanding (all time)</v>
      </c>
      <c r="B8" s="2">
        <f>'Dashboard'!B8</f>
        <v>0</v>
      </c>
    </row>
    <row r="10">
      <c r="A10" t="str">
        <v>Money given this month</v>
      </c>
    </row>
    <row r="11">
      <c r="A11" t="str">
        <v>Record ID</v>
      </c>
      <c r="B11" t="str">
        <v>Person</v>
      </c>
      <c r="C11" t="str">
        <v>Description</v>
      </c>
      <c r="D11" t="str">
        <v>Category</v>
      </c>
      <c r="E11" t="str">
        <v>Date Given</v>
      </c>
      <c r="F11" t="str">
        <v>Original Amount</v>
      </c>
      <c r="G11" t="str">
        <v>Outstanding Now</v>
      </c>
    </row>
    <row r="12">
      <c r="A12" t="str">
        <v>(none)</v>
      </c>
    </row>
    <row r="14">
      <c r="A14" t="str">
        <v>Payments received this month</v>
      </c>
    </row>
    <row r="15">
      <c r="A15" t="str">
        <v>Payment ID</v>
      </c>
      <c r="B15" t="str">
        <v>Person</v>
      </c>
      <c r="C15" t="str">
        <v>Record</v>
      </c>
      <c r="D15" t="str">
        <v>Payment Date</v>
      </c>
      <c r="E15" t="str">
        <v>Amount</v>
      </c>
      <c r="F15" t="str">
        <v>Method</v>
      </c>
      <c r="G15" t="str">
        <v>Reference</v>
      </c>
    </row>
    <row r="16">
      <c r="A16" t="str">
        <v>(none)</v>
      </c>
    </row>
    <row r="18">
      <c r="A18" t="str">
        <v>Cashback this month</v>
      </c>
    </row>
    <row r="19">
      <c r="A19" t="str">
        <v>Cashback ID</v>
      </c>
      <c r="B19" t="str">
        <v>Person</v>
      </c>
      <c r="C19" t="str">
        <v>Record</v>
      </c>
      <c r="D19" t="str">
        <v>Cashback Date</v>
      </c>
      <c r="E19" t="str">
        <v>Amount</v>
      </c>
      <c r="F19" t="str">
        <v>Source</v>
      </c>
      <c r="G19" t="str">
        <v>Applied To Debt</v>
      </c>
    </row>
    <row r="20">
      <c r="A20" t="str">
        <v>(none)</v>
      </c>
    </row>
  </sheetData>
  <ignoredErrors>
    <ignoredError numberStoredAsText="1" sqref="A1:G2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4.83203125" customWidth="1"/>
    <col min="2" max="2" width="20.83203125" customWidth="1"/>
    <col min="3" max="3" width="32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</cols>
  <sheetData>
    <row r="1">
      <c r="A1" t="str">
        <v>November 2026</v>
      </c>
      <c r="B1" t="str">
        <v/>
      </c>
    </row>
    <row r="3">
      <c r="A3" t="str">
        <v>Metric</v>
      </c>
      <c r="B3" t="str">
        <v>Value</v>
      </c>
    </row>
    <row r="4">
      <c r="A4" t="str">
        <v>Money Given This Month</v>
      </c>
      <c r="B4" s="2">
        <f>SUMIFS('Money Records'!$G:$G,'Money Records'!$F:$F,"&gt;="&amp;DATE(2026,11,1),'Money Records'!$F:$F,"&lt;"&amp;DATE(2026,12,1))</f>
        <v>0</v>
      </c>
    </row>
    <row r="5">
      <c r="A5" t="str">
        <v>Payments Received This Month</v>
      </c>
      <c r="B5" s="2">
        <f>SUMIFS('Payments'!$F:$F,'Payments'!$E:$E,"&gt;="&amp;DATE(2026,11,1),'Payments'!$E:$E,"&lt;"&amp;DATE(2026,12,1))</f>
        <v>0</v>
      </c>
    </row>
    <row r="6">
      <c r="A6" t="str">
        <v>Cashback This Month</v>
      </c>
      <c r="B6" s="2">
        <f>SUMIFS('Cashback'!$F:$F,'Cashback'!$E:$E,"&gt;="&amp;DATE(2026,11,1),'Cashback'!$E:$E,"&lt;"&amp;DATE(2026,12,1))</f>
        <v>0</v>
      </c>
    </row>
    <row r="7">
      <c r="A7" t="str">
        <v>Number of Payment Transactions</v>
      </c>
      <c r="B7" s="3">
        <f>COUNTIFS('Payments'!$E:$E,"&gt;="&amp;DATE(2026,11,1),'Payments'!$E:$E,"&lt;"&amp;DATE(2026,12,1))</f>
        <v>0</v>
      </c>
    </row>
    <row r="8">
      <c r="A8" t="str">
        <v>Current Total Outstanding (all time)</v>
      </c>
      <c r="B8" s="2">
        <f>'Dashboard'!B8</f>
        <v>0</v>
      </c>
    </row>
    <row r="10">
      <c r="A10" t="str">
        <v>Money given this month</v>
      </c>
    </row>
    <row r="11">
      <c r="A11" t="str">
        <v>Record ID</v>
      </c>
      <c r="B11" t="str">
        <v>Person</v>
      </c>
      <c r="C11" t="str">
        <v>Description</v>
      </c>
      <c r="D11" t="str">
        <v>Category</v>
      </c>
      <c r="E11" t="str">
        <v>Date Given</v>
      </c>
      <c r="F11" t="str">
        <v>Original Amount</v>
      </c>
      <c r="G11" t="str">
        <v>Outstanding Now</v>
      </c>
    </row>
    <row r="12">
      <c r="A12" t="str">
        <v>(none)</v>
      </c>
    </row>
    <row r="14">
      <c r="A14" t="str">
        <v>Payments received this month</v>
      </c>
    </row>
    <row r="15">
      <c r="A15" t="str">
        <v>Payment ID</v>
      </c>
      <c r="B15" t="str">
        <v>Person</v>
      </c>
      <c r="C15" t="str">
        <v>Record</v>
      </c>
      <c r="D15" t="str">
        <v>Payment Date</v>
      </c>
      <c r="E15" t="str">
        <v>Amount</v>
      </c>
      <c r="F15" t="str">
        <v>Method</v>
      </c>
      <c r="G15" t="str">
        <v>Reference</v>
      </c>
    </row>
    <row r="16">
      <c r="A16" t="str">
        <v>(none)</v>
      </c>
    </row>
    <row r="18">
      <c r="A18" t="str">
        <v>Cashback this month</v>
      </c>
    </row>
    <row r="19">
      <c r="A19" t="str">
        <v>Cashback ID</v>
      </c>
      <c r="B19" t="str">
        <v>Person</v>
      </c>
      <c r="C19" t="str">
        <v>Record</v>
      </c>
      <c r="D19" t="str">
        <v>Cashback Date</v>
      </c>
      <c r="E19" t="str">
        <v>Amount</v>
      </c>
      <c r="F19" t="str">
        <v>Source</v>
      </c>
      <c r="G19" t="str">
        <v>Applied To Debt</v>
      </c>
    </row>
    <row r="20">
      <c r="A20" t="str">
        <v>(none)</v>
      </c>
    </row>
  </sheetData>
  <ignoredErrors>
    <ignoredError numberStoredAsText="1" sqref="A1:G2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4.83203125" customWidth="1"/>
    <col min="2" max="2" width="20.83203125" customWidth="1"/>
    <col min="3" max="3" width="32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</cols>
  <sheetData>
    <row r="1">
      <c r="A1" t="str">
        <v>December 2026</v>
      </c>
      <c r="B1" t="str">
        <v/>
      </c>
    </row>
    <row r="3">
      <c r="A3" t="str">
        <v>Metric</v>
      </c>
      <c r="B3" t="str">
        <v>Value</v>
      </c>
    </row>
    <row r="4">
      <c r="A4" t="str">
        <v>Money Given This Month</v>
      </c>
      <c r="B4" s="2">
        <f>SUMIFS('Money Records'!$G:$G,'Money Records'!$F:$F,"&gt;="&amp;DATE(2026,12,1),'Money Records'!$F:$F,"&lt;"&amp;DATE(2026,13,1))</f>
        <v>0</v>
      </c>
    </row>
    <row r="5">
      <c r="A5" t="str">
        <v>Payments Received This Month</v>
      </c>
      <c r="B5" s="2">
        <f>SUMIFS('Payments'!$F:$F,'Payments'!$E:$E,"&gt;="&amp;DATE(2026,12,1),'Payments'!$E:$E,"&lt;"&amp;DATE(2026,13,1))</f>
        <v>0</v>
      </c>
    </row>
    <row r="6">
      <c r="A6" t="str">
        <v>Cashback This Month</v>
      </c>
      <c r="B6" s="2">
        <f>SUMIFS('Cashback'!$F:$F,'Cashback'!$E:$E,"&gt;="&amp;DATE(2026,12,1),'Cashback'!$E:$E,"&lt;"&amp;DATE(2026,13,1))</f>
        <v>0</v>
      </c>
    </row>
    <row r="7">
      <c r="A7" t="str">
        <v>Number of Payment Transactions</v>
      </c>
      <c r="B7" s="3">
        <f>COUNTIFS('Payments'!$E:$E,"&gt;="&amp;DATE(2026,12,1),'Payments'!$E:$E,"&lt;"&amp;DATE(2026,13,1))</f>
        <v>0</v>
      </c>
    </row>
    <row r="8">
      <c r="A8" t="str">
        <v>Current Total Outstanding (all time)</v>
      </c>
      <c r="B8" s="2">
        <f>'Dashboard'!B8</f>
        <v>0</v>
      </c>
    </row>
    <row r="10">
      <c r="A10" t="str">
        <v>Money given this month</v>
      </c>
    </row>
    <row r="11">
      <c r="A11" t="str">
        <v>Record ID</v>
      </c>
      <c r="B11" t="str">
        <v>Person</v>
      </c>
      <c r="C11" t="str">
        <v>Description</v>
      </c>
      <c r="D11" t="str">
        <v>Category</v>
      </c>
      <c r="E11" t="str">
        <v>Date Given</v>
      </c>
      <c r="F11" t="str">
        <v>Original Amount</v>
      </c>
      <c r="G11" t="str">
        <v>Outstanding Now</v>
      </c>
    </row>
    <row r="12">
      <c r="A12" t="str">
        <v>(none)</v>
      </c>
    </row>
    <row r="14">
      <c r="A14" t="str">
        <v>Payments received this month</v>
      </c>
    </row>
    <row r="15">
      <c r="A15" t="str">
        <v>Payment ID</v>
      </c>
      <c r="B15" t="str">
        <v>Person</v>
      </c>
      <c r="C15" t="str">
        <v>Record</v>
      </c>
      <c r="D15" t="str">
        <v>Payment Date</v>
      </c>
      <c r="E15" t="str">
        <v>Amount</v>
      </c>
      <c r="F15" t="str">
        <v>Method</v>
      </c>
      <c r="G15" t="str">
        <v>Reference</v>
      </c>
    </row>
    <row r="16">
      <c r="A16" t="str">
        <v>(none)</v>
      </c>
    </row>
    <row r="18">
      <c r="A18" t="str">
        <v>Cashback this month</v>
      </c>
    </row>
    <row r="19">
      <c r="A19" t="str">
        <v>Cashback ID</v>
      </c>
      <c r="B19" t="str">
        <v>Person</v>
      </c>
      <c r="C19" t="str">
        <v>Record</v>
      </c>
      <c r="D19" t="str">
        <v>Cashback Date</v>
      </c>
      <c r="E19" t="str">
        <v>Amount</v>
      </c>
      <c r="F19" t="str">
        <v>Source</v>
      </c>
      <c r="G19" t="str">
        <v>Applied To Debt</v>
      </c>
    </row>
    <row r="20">
      <c r="A20" t="str">
        <v>(none)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Instructions</vt:lpstr>
      <vt:lpstr>Dashboard</vt:lpstr>
      <vt:lpstr>People</vt:lpstr>
      <vt:lpstr>Money Records</vt:lpstr>
      <vt:lpstr>Payments</vt:lpstr>
      <vt:lpstr>Cashback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